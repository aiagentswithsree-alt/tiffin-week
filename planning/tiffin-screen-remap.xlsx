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map" sheetId="1" state="visible" r:id="rId3"/>
    <sheet name="New surfaces" sheetId="2" state="visible" r:id="rId4"/>
  </sheets>
  <definedNames>
    <definedName function="false" hidden="true" localSheetId="0" name="_xlnm._FilterDatabase" vbProcedure="false">Remap!$A$1:$H$37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<sst xmlns="http://schemas.openxmlformats.org/spreadsheetml/2006/main" count="340" uniqueCount="217">
  <si>
    <t xml:space="preserve">Old #</t>
  </si>
  <si>
    <t xml:space="preserve">Old screen</t>
  </si>
  <si>
    <t xml:space="preserve">New surface</t>
  </si>
  <si>
    <t xml:space="preserve">Mapping</t>
  </si>
  <si>
    <t xml:space="preserve">Interactions that must survive</t>
  </si>
  <si>
    <t xml:space="preserve">State it represents</t>
  </si>
  <si>
    <t xml:space="preserve">Watch-out</t>
  </si>
  <si>
    <t xml:space="preserve">Status</t>
  </si>
  <si>
    <t xml:space="preserve">Day type</t>
  </si>
  <si>
    <t xml:space="preserve">N3a Assign routine (sheet)</t>
  </si>
  <si>
    <t xml:space="preserve">Replaced</t>
  </si>
  <si>
    <t xml:space="preserve">Day pill strip with per-day box counts; tap any day to change it; Mon-Fri and Sat-Sun defaults; optional custom day name that shows on the wall planner; 'Plan Saturday's meals' CTA</t>
  </si>
  <si>
    <t xml:space="preserve">Which routine a date uses</t>
  </si>
  <si>
    <t xml:space="preserve">Day-type radio becomes a routine choice. A Wed holiday must still become a full day at home WITHOUT editing the template.</t>
  </si>
  <si>
    <t xml:space="preserve">Not started</t>
  </si>
  <si>
    <t xml:space="preserve">Weekday - School, Office, Home</t>
  </si>
  <si>
    <t xml:space="preserve">N4 Day plan (empty)</t>
  </si>
  <si>
    <t xml:space="preserve">Merged</t>
  </si>
  <si>
    <t xml:space="preserve">Week strip with counts; section header per group; slot rows with '+ Pick'; bottom summary '5 boxes - out by 7:15 - 3 at home'; '0 of 8 picked'</t>
  </si>
  <si>
    <t xml:space="preserve">Day with nothing picked</t>
  </si>
  <si>
    <t xml:space="preserve">Group sections are dynamic now; the summary line must recompute from groups, not from three fixed places.</t>
  </si>
  <si>
    <t xml:space="preserve">App map - day type, places, slots</t>
  </si>
  <si>
    <t xml:space="preserve">Reference doc</t>
  </si>
  <si>
    <t xml:space="preserve">Reference only</t>
  </si>
  <si>
    <t xml:space="preserve">None - it is the model spec</t>
  </si>
  <si>
    <t xml:space="preserve">-</t>
  </si>
  <si>
    <t xml:space="preserve">Rewrite it for routines/groups/slots; it still shows the old fixed hierarchy.</t>
  </si>
  <si>
    <t xml:space="preserve">Tick School - three boxes</t>
  </si>
  <si>
    <t xml:space="preserve">N4 Day plan (group expanded)</t>
  </si>
  <si>
    <t xml:space="preserve">Group tick; N box cards in a row; 'Opens on &lt;category&gt;' per box; empty night-before panel reading 'Fills in as you pick the three boxes'</t>
  </si>
  <si>
    <t xml:space="preserve">Group active, slots empty</t>
  </si>
  <si>
    <t xml:space="preserve">Cards must wrap or stack past three slots, and when a group mixes eat/pack.</t>
  </si>
  <si>
    <t xml:space="preserve">Picker - 1st short break</t>
  </si>
  <si>
    <t xml:space="preserve">N5 Dish picker</t>
  </si>
  <si>
    <t xml:space="preserve">Search; category chips with counts; dark chip = the one it opened on; All categories; + Category; + Add recipe to &lt;category&gt;; dish cards with note, minutes, base tag, 'travels so-so'</t>
  </si>
  <si>
    <t xml:space="preserve">Picker open on a packed slot</t>
  </si>
  <si>
    <t xml:space="preserve">'travels so-so' must key off the slot's EFFECTIVE pack mode, not the place name.</t>
  </si>
  <si>
    <t xml:space="preserve">Picker - Lunch</t>
  </si>
  <si>
    <t xml:space="preserve">Same sheet, different category set and subtitle ('the main meal of the school day')</t>
  </si>
  <si>
    <t xml:space="preserve">Picker open, main meal</t>
  </si>
  <si>
    <t xml:space="preserve">Subtitle has to come from slot config, not a hardcoded string.</t>
  </si>
  <si>
    <t xml:space="preserve">Picker - 2nd short break</t>
  </si>
  <si>
    <t xml:space="preserve">N5 Dish picker (recipe expanded)</t>
  </si>
  <si>
    <t xml:space="preserve">'Hide recipe - 8 ingredients' toggle; ingredients list; numbered method; 'Night before:' callout inside the card</t>
  </si>
  <si>
    <t xml:space="preserve">Recipe expanded in place</t>
  </si>
  <si>
    <t xml:space="preserve">Must stay inline. Making it a route breaks back behaviour out of the picker.</t>
  </si>
  <si>
    <t xml:space="preserve">School day planned</t>
  </si>
  <si>
    <t xml:space="preserve">N4 Day plan (planned)</t>
  </si>
  <si>
    <t xml:space="preserve">Filled box cards; evening preview; MADE ONCE, SPLIT TWO WAYS; night-before list tagged by slot; numbered morning cook order; 'Out the door 7:15 - 33 min of stove - start by 6:42 AM'</t>
  </si>
  <si>
    <t xml:space="preserve">All slots picked</t>
  </si>
  <si>
    <t xml:space="preserve">Start-time maths runs off effective ready-by plus day offsets. VERIFIED: 20+12+1=33 min, 7:15-33=6:42 correct, but School group only. DECIDED: MVP schedules sequentially across ALL included groups; shared prep (rice, gravy, chopped veg) is made ONCE in a combined batch, not summed. Burner capacity and attended/unattended time come later.</t>
  </si>
  <si>
    <t xml:space="preserve">Tick Office - two boxes</t>
  </si>
  <si>
    <t xml:space="preserve">FRI '2?' dashed pill for weeks that vary; 'Dinner and coffee are planned under Home'</t>
  </si>
  <si>
    <t xml:space="preserve">Group active some weeks only</t>
  </si>
  <si>
    <t xml:space="preserve">RESOLVED: Confirmed / Tentative / Skipped on a group. Tentative is expressible per weekday (confirmed Mon-Wed, tentative Fri), so a group-wide default is not the only lever. Shopping inclusion is a SEPARATE flag: buying for a tentative meal never schedules it to cook.</t>
  </si>
  <si>
    <t xml:space="preserve">Picker - Office breakfast box</t>
  </si>
  <si>
    <t xml:space="preserve">As screen 05, different categories and subtitle</t>
  </si>
  <si>
    <t xml:space="preserve">Picker open</t>
  </si>
  <si>
    <t xml:space="preserve">Picker - Office lunch box</t>
  </si>
  <si>
    <t xml:space="preserve">As screen 05</t>
  </si>
  <si>
    <t xml:space="preserve">Office day planned</t>
  </si>
  <si>
    <t xml:space="preserve">'One pot of rice covers the Lunch box and tonight's Home dinner'; night-before; morning cook order; start-by</t>
  </si>
  <si>
    <t xml:space="preserve">Base matching must work ACROSS groups. Arithmetic VERIFIED: 15+12=27 min, 7:15-27=6:48. Office group only.</t>
  </si>
  <si>
    <t xml:space="preserve">Home - beverage, snack, dinner</t>
  </si>
  <si>
    <t xml:space="preserve">N4 Day plan</t>
  </si>
  <si>
    <t xml:space="preserve">'every day - no tick needed'; EVENING TIMELINE placeholder 'Start times appear once they're picked'</t>
  </si>
  <si>
    <t xml:space="preserve">Always-on group, empty</t>
  </si>
  <si>
    <t xml:space="preserve">'No tick needed' simply means the group is always in the routine.</t>
  </si>
  <si>
    <t xml:space="preserve">Picker - Beverage</t>
  </si>
  <si>
    <t xml:space="preserve">N5 Dish picker (compact)</t>
  </si>
  <si>
    <t xml:space="preserve">No search; no base or minutes chips; shortest category list</t>
  </si>
  <si>
    <t xml:space="preserve">Picker open, trivial slot</t>
  </si>
  <si>
    <t xml:space="preserve">Keep as configuration of the one picker, not a second component.</t>
  </si>
  <si>
    <t xml:space="preserve">Picker - Home snack</t>
  </si>
  <si>
    <t xml:space="preserve">Picker - Home dinner</t>
  </si>
  <si>
    <t xml:space="preserve">N5 Dish picker (with stepper)</t>
  </si>
  <si>
    <t xml:space="preserve">Serves stepper in the header: 'amounts scaled for 3 people'</t>
  </si>
  <si>
    <t xml:space="preserve">Picker open, scaled</t>
  </si>
  <si>
    <t xml:space="preserve">Stepper must read and write the EFFECTIVE serves (slot &gt; group &gt; household).</t>
  </si>
  <si>
    <t xml:space="preserve">Home evening planned</t>
  </si>
  <si>
    <t xml:space="preserve">N4 Day plan (planned, eat-here)</t>
  </si>
  <si>
    <t xml:space="preserve">EVENING TIMELINE clock rows (4:18 start wedges / 4:30 on the table / 5:40 start dinner / 6:00 dinner and coffee); night-before</t>
  </si>
  <si>
    <t xml:space="preserve">All slots picked, eat-here</t>
  </si>
  <si>
    <t xml:space="preserve">Timeline computed backwards from ready-by, same engine as the packed cook order.</t>
  </si>
  <si>
    <t xml:space="preserve">Full day at Home - half planned</t>
  </si>
  <si>
    <t xml:space="preserve">N4 Day plan (partial)</t>
  </si>
  <si>
    <t xml:space="preserve">Serves stepper at top; '2 of 4 picked'; empty slot 'Choose a dish +'; filled slot '&lt;category&gt; - Edit'; footer nudge '2 things for today aren't on the shopping list yet - Add'</t>
  </si>
  <si>
    <t xml:space="preserve">Partially planned day</t>
  </si>
  <si>
    <t xml:space="preserve">The shopping-list nudge appears ONLY on this screen in the original. Do not lose it in the merge.</t>
  </si>
  <si>
    <t xml:space="preserve">Picker - editing a saved slot</t>
  </si>
  <si>
    <t xml:space="preserve">N5 Dish picker (editing)</t>
  </si>
  <si>
    <t xml:space="preserve">IN THIS SLOT NOW block with Clear; 'Tap any dish below to swap it in'; current dish marked 'In this slot now' in the list</t>
  </si>
  <si>
    <t xml:space="preserve">Re-picking a filled slot</t>
  </si>
  <si>
    <t xml:space="preserve">Full day at Home - planned</t>
  </si>
  <si>
    <t xml:space="preserve">TODAY'S KITCHEN TIMELINE; NIGHT BEFORE (FRI) referencing the previous day; 'Prep plan' and 'Print the day' buttons</t>
  </si>
  <si>
    <t xml:space="preserve">Fully planned day</t>
  </si>
  <si>
    <t xml:space="preserve">Night-before belongs to the PREVIOUS date - keep that cross-day link when days become instances.</t>
  </si>
  <si>
    <t xml:space="preserve">Week at a glance</t>
  </si>
  <si>
    <t xml:space="preserve">N3 Week view</t>
  </si>
  <si>
    <t xml:space="preserve">Direct</t>
  </si>
  <si>
    <t xml:space="preserve">Seven day rows; per-group chips with fractions, amber when incomplete; dinner line; progress bar '32 of 37 picked'; footer buttons 28 Shopping / 15 Prep / Print</t>
  </si>
  <si>
    <t xml:space="preserve">Whole week overview</t>
  </si>
  <si>
    <t xml:space="preserve">Chips are per dynamic group now; a row must survive six or more groups.</t>
  </si>
  <si>
    <t xml:space="preserve">Shopping list for the week</t>
  </si>
  <si>
    <t xml:space="preserve">N6 Shopping list</t>
  </si>
  <si>
    <t xml:space="preserve">Buy Sunday / Fresh midweek split; grouped by shop section; each item shows the dish it came from; '18 staples hidden'; est. flags; Share on WhatsApp; Print</t>
  </si>
  <si>
    <t xml:space="preserve">Derived from all picks</t>
  </si>
  <si>
    <t xml:space="preserve">Quantities now scale from effective serves per slot, which can differ within one group.</t>
  </si>
  <si>
    <t xml:space="preserve">Pantry - always in stock</t>
  </si>
  <si>
    <t xml:space="preserve">N7 Pantry</t>
  </si>
  <si>
    <t xml:space="preserve">Search; toggle off pushes an item onto this week's list; 'Running low - on this week's list' marker</t>
  </si>
  <si>
    <t xml:space="preserve">Standing exclusions</t>
  </si>
  <si>
    <t xml:space="preserve">Prep plan for the week</t>
  </si>
  <si>
    <t xml:space="preserve">N8 Prep plan</t>
  </si>
  <si>
    <t xml:space="preserve">Sunday batch / Nightly / Mornings tabs; task kind, keeps-for, used-by, minutes; HEADS-UP lead times (moong Mon night for Wed, rajma Thu night for Fri)</t>
  </si>
  <si>
    <t xml:space="preserve">Derived prep schedule</t>
  </si>
  <si>
    <t xml:space="preserve">Lead times must respect the new day offsets or overnight shifts compute wrong.</t>
  </si>
  <si>
    <t xml:space="preserve">Bases &amp; preps library</t>
  </si>
  <si>
    <t xml:space="preserve">N9 Bases library</t>
  </si>
  <si>
    <t xml:space="preserve">Filters; + New base or prep; lead time, keeps, batch size, used-by count</t>
  </si>
  <si>
    <t xml:space="preserve">Shared prep definitions</t>
  </si>
  <si>
    <t xml:space="preserve">Recipe editor - amounts and bases</t>
  </si>
  <si>
    <t xml:space="preserve">N10 Recipe editor</t>
  </si>
  <si>
    <t xml:space="preserve">Serves stepper rescales every amount; 'est.' tag disappears when typed over; shop section per ingredient; link a base; method steps; morning cook time</t>
  </si>
  <si>
    <t xml:space="preserve">One recipe being edited</t>
  </si>
  <si>
    <t xml:space="preserve">The est. pattern is the same inheritance pattern used in routine setup - keep them visually identical.</t>
  </si>
  <si>
    <t xml:space="preserve">Settings - household and timings</t>
  </si>
  <si>
    <t xml:space="preserve">N11 Settings (split)</t>
  </si>
  <si>
    <t xml:space="preserve">People at dinner; office days with dashed 'some weeks'; school days; all slot timings; pantry and bases counts; print defaults</t>
  </si>
  <si>
    <t xml:space="preserve">Global configuration</t>
  </si>
  <si>
    <t xml:space="preserve">Days, groups and timings MOVE INTO routine setup. Settings keeps household, pantry, bases, print defaults and links out.</t>
  </si>
  <si>
    <t xml:space="preserve">Start next week</t>
  </si>
  <si>
    <t xml:space="preserve">N12 Start next week</t>
  </si>
  <si>
    <t xml:space="preserve">Copy last week; shuffle repeats; start from a saved template; start blank; Save this week as a template</t>
  </si>
  <si>
    <t xml:space="preserve">Seeding a new week</t>
  </si>
  <si>
    <t xml:space="preserve">DECIDED: copy the planned DAYS - meals, servings, group/slot overrides, attendance and overnight offsets - into independent instances, dates shifted by 7. Done/packed/prep/shopping marks reset. Routine templates and recurring rules untouched. Asks before replacing destination days that already hold plans.</t>
  </si>
  <si>
    <t xml:space="preserve">Print centre</t>
  </si>
  <si>
    <t xml:space="preserve">N13 Print centre</t>
  </si>
  <si>
    <t xml:space="preserve">Template chooser; week selector; A4/A3; landscape/portrait; ink-saver; Preview &amp; save as PDF; Share PDF on WhatsApp</t>
  </si>
  <si>
    <t xml:space="preserve">Print configuration</t>
  </si>
  <si>
    <t xml:space="preserve">Print - weekly wall planner (A4 landscape)</t>
  </si>
  <si>
    <t xml:space="preserve">N14 Wall planner</t>
  </si>
  <si>
    <t xml:space="preserve">Fixed SCHOOL / OFFICE / HOME / FULL DAY bands; 'not picked' in italics; hatched empty cells; legend; footer pointing at the prep sheet</t>
  </si>
  <si>
    <t xml:space="preserve">Printable week</t>
  </si>
  <si>
    <t xml:space="preserve">Bands become generated rows. Spill onto a second sheet with repeated headings rather than capping or shrinking.</t>
  </si>
  <si>
    <t xml:space="preserve">Print - prep sheet (A4 portrait)</t>
  </si>
  <si>
    <t xml:space="preserve">N15 Prep sheet</t>
  </si>
  <si>
    <t xml:space="preserve">Sunday batch with total time; NIGHT BEFORE grouped by day; MORNING - START BY; lead-times footnote</t>
  </si>
  <si>
    <t xml:space="preserve">Printable prep</t>
  </si>
  <si>
    <t xml:space="preserve">Same day-offset dependency as screen 24.</t>
  </si>
  <si>
    <t xml:space="preserve">Print - shopping list (A4 portrait)</t>
  </si>
  <si>
    <t xml:space="preserve">N16 Shopping list print</t>
  </si>
  <si>
    <t xml:space="preserve">Buy Sunday and Fresh midweek sections; ALSO NEED block; estimates caveat</t>
  </si>
  <si>
    <t xml:space="preserve">Printable shopping</t>
  </si>
  <si>
    <t xml:space="preserve">Print - daily fridge card (A5)</t>
  </si>
  <si>
    <t xml:space="preserve">N17 Fridge card</t>
  </si>
  <si>
    <t xml:space="preserve">Boxes labelled by group and slot; MORNING - ONE STOVE with start time; EVENING rows; TONIGHT, FOR TUESDAY checkboxes</t>
  </si>
  <si>
    <t xml:space="preserve">Printable single day (all groups)</t>
  </si>
  <si>
    <t xml:space="preserve">CORRECTED: labels render as group-and-slot (School - lunch, Office - breakfast), not people - no person field needed; person assignment stays optional for later. ARITHMETIC BUG IN THE ORIGINAL: 20+15+12+5 = 52 min but it prints start 6:42 (screen 08 School-only figure). Correct sequential answer is 6:23 - now reproduced by the engine and covered by a regression test.</t>
  </si>
  <si>
    <t xml:space="preserve">Print - blank weekly planner (A4 landscape)</t>
  </si>
  <si>
    <t xml:space="preserve">N18 Blank planner</t>
  </si>
  <si>
    <t xml:space="preserve">Blank grid; 'Week of'; 'Dinner for N'; Sunday batch and Shopping footers</t>
  </si>
  <si>
    <t xml:space="preserve">Printable blank</t>
  </si>
  <si>
    <t xml:space="preserve">Row labels now come from the routine, so a blank is per-routine, not universal.</t>
  </si>
  <si>
    <t xml:space="preserve">Print - recipe card (A5)</t>
  </si>
  <si>
    <t xml:space="preserve">N19 Recipe card</t>
  </si>
  <si>
    <t xml:space="preserve">Steamed base and dressing sections; numbered method; night-before note; serves and steam time</t>
  </si>
  <si>
    <t xml:space="preserve">Printable recipe</t>
  </si>
  <si>
    <t xml:space="preserve">User flow - school boxes</t>
  </si>
  <si>
    <t xml:space="preserve">None - it is the navigation spec</t>
  </si>
  <si>
    <t xml:space="preserve">Steps 2-4 need rewriting for routines and dynamic groups.</t>
  </si>
  <si>
    <t xml:space="preserve">Kind</t>
  </si>
  <si>
    <t xml:space="preserve">Comes from (old #)</t>
  </si>
  <si>
    <t xml:space="preserve">Count in</t>
  </si>
  <si>
    <t xml:space="preserve">Notes</t>
  </si>
  <si>
    <t xml:space="preserve">N1 Onboarding</t>
  </si>
  <si>
    <t xml:space="preserve">Screen</t>
  </si>
  <si>
    <t xml:space="preserve">new</t>
  </si>
  <si>
    <t xml:space="preserve">Which routines do you need - multi-select, seeds routines.</t>
  </si>
  <si>
    <t xml:space="preserve">N2 Routine setup</t>
  </si>
  <si>
    <t xml:space="preserve">27 (part), new</t>
  </si>
  <si>
    <t xml:space="preserve">Routines, groups, slots, inheritance. May split into 2-3 screens if it outgrows one scroll.</t>
  </si>
  <si>
    <t xml:space="preserve">21</t>
  </si>
  <si>
    <t xml:space="preserve">Seven days, routine per day, progress, footer actions.</t>
  </si>
  <si>
    <t xml:space="preserve">N3a Assign routine</t>
  </si>
  <si>
    <t xml:space="preserve">Sheet</t>
  </si>
  <si>
    <t xml:space="preserve">1</t>
  </si>
  <si>
    <t xml:space="preserve">Bottom sheet on N3. A one-off override must not touch the template.</t>
  </si>
  <si>
    <t xml:space="preserve">2, 4, 8, 9, 12, 13, 17, 18, 20</t>
  </si>
  <si>
    <t xml:space="preserve">Empty &gt; partial &gt; planned as one screen. The originals say so themselves: 04 'Fills in as you pick the three boxes', 13 'Start times appear once they are picked'.</t>
  </si>
  <si>
    <t xml:space="preserve">5, 6, 7, 10, 11, 14, 15, 16, 19</t>
  </si>
  <si>
    <t xml:space="preserve">One sheet; states = recipe expanded, editing a saved slot; options = search, stepper, chips.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</si>
  <si>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</si>
  <si>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</si>
  <si>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</si>
  <si>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</si>
  <si>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</si>
  <si>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N11 Settings</t>
  </si>
  <si>
    <t xml:space="preserve">27 (rest)</t>
  </si>
  <si>
    <t xml:space="preserve">Loses days/timings to N2; keeps household, pantry, bases, print defaults.</t>
  </si>
  <si>
    <t xml:space="preserve">28</t>
  </si>
  <si>
    <t xml:space="preserve">29</t>
  </si>
  <si>
    <t xml:space="preserve">Print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</si>
  <si>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</si>
  <si>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</si>
  <si>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</si>
  <si>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</si>
  <si>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</si>
  <si>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</si>
  <si>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Reference docs</t>
  </si>
  <si>
    <t xml:space="preserve">Doc</t>
  </si>
  <si>
    <t xml:space="preserve">3, 36</t>
  </si>
  <si>
    <t xml:space="preserve">App map and user flow - specs to rewrite, not screens to build.</t>
  </si>
  <si>
    <t xml:space="preserve">Screens to build</t>
  </si>
  <si>
    <t xml:space="preserve">Plus sheets</t>
  </si>
  <si>
    <t xml:space="preserve">Originals absorbed</t>
  </si>
  <si>
    <t xml:space="preserve">Originals in file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</si>
</sst>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1A17"/>
        <bgColor rgb="FF333333"/>
      </patternFill>
    </fill>
    <fill>
      <patternFill patternType="solid">
        <fgColor rgb="FFF4F3EF"/>
        <bgColor rgb="FFF6EBD9"/>
      </patternFill>
    </fill>
    <fill>
      <patternFill patternType="solid">
        <fgColor rgb="FFF6EBD9"/>
        <bgColor rgb="FFE7E6E1"/>
      </patternFill>
    </fill>
    <fill>
      <patternFill patternType="solid">
        <fgColor rgb="FFE0EDE3"/>
        <bgColor rgb="FFE7E6E1"/>
      </patternFill>
    </fill>
    <fill>
      <patternFill patternType="solid">
        <fgColor rgb="FFEDE7F0"/>
        <bgColor rgb="FFE7E6E1"/>
      </patternFill>
    </fill>
    <fill>
      <patternFill patternType="solid">
        <fgColor rgb="FFE7E6E1"/>
        <bgColor rgb="FFEDE7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2CA"/>
      </left>
      <right style="thin">
        <color rgb="FFD5D2CA"/>
      </right>
      <top style="thin">
        <color rgb="FFD5D2CA"/>
      </top>
      <bottom style="thin">
        <color rgb="FFD5D2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1A17"/>
          <bgColor rgb="FF000000"/>
        </patternFill>
      </fill>
    </dxf>
    <dxf>
      <fill>
        <patternFill patternType="solid">
          <fgColor rgb="FFF4F3E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EDE3"/>
          <bgColor rgb="FF000000"/>
        </patternFill>
      </fill>
    </dxf>
    <dxf>
      <fill>
        <patternFill patternType="solid">
          <fgColor rgb="FFE7E6E1"/>
          <bgColor rgb="FF000000"/>
        </patternFill>
      </fill>
    </dxf>
    <dxf>
      <fill>
        <patternFill patternType="solid">
          <fgColor rgb="FFEDE7F0"/>
          <bgColor rgb="FF000000"/>
        </patternFill>
      </fill>
    </dxf>
    <dxf>
      <fill>
        <patternFill patternType="solid">
          <fgColor rgb="FFF6EB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D2CA"/>
      <rgbColor rgb="FF808080"/>
      <rgbColor rgb="FF9999FF"/>
      <rgbColor rgb="FF993366"/>
      <rgbColor rgb="FFF4F3EF"/>
      <rgbColor rgb="FFE7E6E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0"/>
      <rgbColor rgb="FFE0EDE3"/>
      <rgbColor rgb="FFF6EB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B1A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70"/>
    <col collapsed="false" customWidth="true" hidden="false" outlineLevel="0" max="6" min="6" style="0" width="26"/>
    <col collapsed="false" customWidth="true" hidden="false" outlineLevel="0" max="7" min="7" style="0" width="52"/>
    <col collapsed="false" customWidth="true" hidden="false" outlineLevel="0" max="8" min="8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60" hidden="false" customHeight="true" outlineLevel="0" collapsed="false">
      <c r="A2" s="2" t="n">
        <v>1</v>
      </c>
      <c r="B2" s="3" t="s">
        <v>8</v>
      </c>
      <c r="C2" s="4" t="s">
        <v>9</v>
      </c>
      <c r="D2" s="5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customFormat="false" ht="60" hidden="false" customHeight="true" outlineLevel="0" collapsed="false">
      <c r="A3" s="6" t="n">
        <v>2</v>
      </c>
      <c r="B3" s="7" t="s">
        <v>15</v>
      </c>
      <c r="C3" s="8" t="s">
        <v>16</v>
      </c>
      <c r="D3" s="9" t="s">
        <v>17</v>
      </c>
      <c r="E3" s="7" t="s">
        <v>18</v>
      </c>
      <c r="F3" s="7" t="s">
        <v>19</v>
      </c>
      <c r="G3" s="7" t="s">
        <v>20</v>
      </c>
      <c r="H3" s="7" t="s">
        <v>14</v>
      </c>
    </row>
    <row r="4" customFormat="false" ht="60" hidden="false" customHeight="true" outlineLevel="0" collapsed="false">
      <c r="A4" s="2" t="n">
        <v>3</v>
      </c>
      <c r="B4" s="3" t="s">
        <v>21</v>
      </c>
      <c r="C4" s="4" t="s">
        <v>22</v>
      </c>
      <c r="D4" s="10" t="s">
        <v>23</v>
      </c>
      <c r="E4" s="3" t="s">
        <v>24</v>
      </c>
      <c r="F4" s="3" t="s">
        <v>25</v>
      </c>
      <c r="G4" s="3" t="s">
        <v>26</v>
      </c>
      <c r="H4" s="3" t="s">
        <v>14</v>
      </c>
    </row>
    <row r="5" customFormat="false" ht="60" hidden="false" customHeight="true" outlineLevel="0" collapsed="false">
      <c r="A5" s="6" t="n">
        <v>4</v>
      </c>
      <c r="B5" s="7" t="s">
        <v>27</v>
      </c>
      <c r="C5" s="8" t="s">
        <v>28</v>
      </c>
      <c r="D5" s="9" t="s">
        <v>17</v>
      </c>
      <c r="E5" s="7" t="s">
        <v>29</v>
      </c>
      <c r="F5" s="7" t="s">
        <v>30</v>
      </c>
      <c r="G5" s="7" t="s">
        <v>31</v>
      </c>
      <c r="H5" s="7" t="s">
        <v>14</v>
      </c>
    </row>
    <row r="6" customFormat="false" ht="60" hidden="false" customHeight="true" outlineLevel="0" collapsed="false">
      <c r="A6" s="2" t="n">
        <v>5</v>
      </c>
      <c r="B6" s="3" t="s">
        <v>32</v>
      </c>
      <c r="C6" s="4" t="s">
        <v>33</v>
      </c>
      <c r="D6" s="9" t="s">
        <v>17</v>
      </c>
      <c r="E6" s="3" t="s">
        <v>34</v>
      </c>
      <c r="F6" s="3" t="s">
        <v>35</v>
      </c>
      <c r="G6" s="3" t="s">
        <v>36</v>
      </c>
      <c r="H6" s="3" t="s">
        <v>14</v>
      </c>
    </row>
    <row r="7" customFormat="false" ht="60" hidden="false" customHeight="true" outlineLevel="0" collapsed="false">
      <c r="A7" s="6" t="n">
        <v>6</v>
      </c>
      <c r="B7" s="7" t="s">
        <v>37</v>
      </c>
      <c r="C7" s="8" t="s">
        <v>33</v>
      </c>
      <c r="D7" s="9" t="s">
        <v>17</v>
      </c>
      <c r="E7" s="7" t="s">
        <v>38</v>
      </c>
      <c r="F7" s="7" t="s">
        <v>39</v>
      </c>
      <c r="G7" s="7" t="s">
        <v>40</v>
      </c>
      <c r="H7" s="7" t="s">
        <v>14</v>
      </c>
    </row>
    <row r="8" customFormat="false" ht="60" hidden="false" customHeight="true" outlineLevel="0" collapsed="false">
      <c r="A8" s="2" t="n">
        <v>7</v>
      </c>
      <c r="B8" s="3" t="s">
        <v>41</v>
      </c>
      <c r="C8" s="4" t="s">
        <v>42</v>
      </c>
      <c r="D8" s="9" t="s">
        <v>17</v>
      </c>
      <c r="E8" s="3" t="s">
        <v>43</v>
      </c>
      <c r="F8" s="3" t="s">
        <v>44</v>
      </c>
      <c r="G8" s="3" t="s">
        <v>45</v>
      </c>
      <c r="H8" s="3" t="s">
        <v>14</v>
      </c>
    </row>
    <row r="9" customFormat="false" ht="60" hidden="false" customHeight="true" outlineLevel="0" collapsed="false">
      <c r="A9" s="6" t="n">
        <v>8</v>
      </c>
      <c r="B9" s="7" t="s">
        <v>46</v>
      </c>
      <c r="C9" s="8" t="s">
        <v>47</v>
      </c>
      <c r="D9" s="9" t="s">
        <v>17</v>
      </c>
      <c r="E9" s="7" t="s">
        <v>48</v>
      </c>
      <c r="F9" s="7" t="s">
        <v>49</v>
      </c>
      <c r="G9" s="7" t="s">
        <v>50</v>
      </c>
      <c r="H9" s="7" t="s">
        <v>14</v>
      </c>
    </row>
    <row r="10" customFormat="false" ht="60" hidden="false" customHeight="true" outlineLevel="0" collapsed="false">
      <c r="A10" s="2" t="n">
        <v>9</v>
      </c>
      <c r="B10" s="3" t="s">
        <v>51</v>
      </c>
      <c r="C10" s="4" t="s">
        <v>28</v>
      </c>
      <c r="D10" s="9" t="s">
        <v>17</v>
      </c>
      <c r="E10" s="3" t="s">
        <v>52</v>
      </c>
      <c r="F10" s="3" t="s">
        <v>53</v>
      </c>
      <c r="G10" s="3" t="s">
        <v>54</v>
      </c>
      <c r="H10" s="3" t="s">
        <v>14</v>
      </c>
    </row>
    <row r="11" customFormat="false" ht="60" hidden="false" customHeight="true" outlineLevel="0" collapsed="false">
      <c r="A11" s="6" t="n">
        <v>10</v>
      </c>
      <c r="B11" s="7" t="s">
        <v>55</v>
      </c>
      <c r="C11" s="8" t="s">
        <v>33</v>
      </c>
      <c r="D11" s="9" t="s">
        <v>17</v>
      </c>
      <c r="E11" s="7" t="s">
        <v>56</v>
      </c>
      <c r="F11" s="7" t="s">
        <v>57</v>
      </c>
      <c r="G11" s="7" t="s">
        <v>25</v>
      </c>
      <c r="H11" s="7" t="s">
        <v>14</v>
      </c>
    </row>
    <row r="12" customFormat="false" ht="60" hidden="false" customHeight="true" outlineLevel="0" collapsed="false">
      <c r="A12" s="2" t="n">
        <v>11</v>
      </c>
      <c r="B12" s="3" t="s">
        <v>58</v>
      </c>
      <c r="C12" s="4" t="s">
        <v>33</v>
      </c>
      <c r="D12" s="9" t="s">
        <v>17</v>
      </c>
      <c r="E12" s="3" t="s">
        <v>59</v>
      </c>
      <c r="F12" s="3" t="s">
        <v>57</v>
      </c>
      <c r="G12" s="3" t="s">
        <v>25</v>
      </c>
      <c r="H12" s="3" t="s">
        <v>14</v>
      </c>
    </row>
    <row r="13" customFormat="false" ht="60" hidden="false" customHeight="true" outlineLevel="0" collapsed="false">
      <c r="A13" s="6" t="n">
        <v>12</v>
      </c>
      <c r="B13" s="7" t="s">
        <v>60</v>
      </c>
      <c r="C13" s="8" t="s">
        <v>47</v>
      </c>
      <c r="D13" s="9" t="s">
        <v>17</v>
      </c>
      <c r="E13" s="7" t="s">
        <v>61</v>
      </c>
      <c r="F13" s="7" t="s">
        <v>49</v>
      </c>
      <c r="G13" s="7" t="s">
        <v>62</v>
      </c>
      <c r="H13" s="7" t="s">
        <v>14</v>
      </c>
    </row>
    <row r="14" customFormat="false" ht="60" hidden="false" customHeight="true" outlineLevel="0" collapsed="false">
      <c r="A14" s="2" t="n">
        <v>13</v>
      </c>
      <c r="B14" s="3" t="s">
        <v>63</v>
      </c>
      <c r="C14" s="4" t="s">
        <v>64</v>
      </c>
      <c r="D14" s="9" t="s">
        <v>17</v>
      </c>
      <c r="E14" s="3" t="s">
        <v>65</v>
      </c>
      <c r="F14" s="3" t="s">
        <v>66</v>
      </c>
      <c r="G14" s="3" t="s">
        <v>67</v>
      </c>
      <c r="H14" s="3" t="s">
        <v>14</v>
      </c>
    </row>
    <row r="15" customFormat="false" ht="60" hidden="false" customHeight="true" outlineLevel="0" collapsed="false">
      <c r="A15" s="6" t="n">
        <v>14</v>
      </c>
      <c r="B15" s="7" t="s">
        <v>68</v>
      </c>
      <c r="C15" s="8" t="s">
        <v>69</v>
      </c>
      <c r="D15" s="9" t="s">
        <v>17</v>
      </c>
      <c r="E15" s="7" t="s">
        <v>70</v>
      </c>
      <c r="F15" s="7" t="s">
        <v>71</v>
      </c>
      <c r="G15" s="7" t="s">
        <v>72</v>
      </c>
      <c r="H15" s="7" t="s">
        <v>14</v>
      </c>
    </row>
    <row r="16" customFormat="false" ht="60" hidden="false" customHeight="true" outlineLevel="0" collapsed="false">
      <c r="A16" s="2" t="n">
        <v>15</v>
      </c>
      <c r="B16" s="3" t="s">
        <v>73</v>
      </c>
      <c r="C16" s="4" t="s">
        <v>33</v>
      </c>
      <c r="D16" s="9" t="s">
        <v>17</v>
      </c>
      <c r="E16" s="3" t="s">
        <v>59</v>
      </c>
      <c r="F16" s="3" t="s">
        <v>57</v>
      </c>
      <c r="G16" s="3" t="s">
        <v>25</v>
      </c>
      <c r="H16" s="3" t="s">
        <v>14</v>
      </c>
    </row>
    <row r="17" customFormat="false" ht="60" hidden="false" customHeight="true" outlineLevel="0" collapsed="false">
      <c r="A17" s="6" t="n">
        <v>16</v>
      </c>
      <c r="B17" s="7" t="s">
        <v>74</v>
      </c>
      <c r="C17" s="8" t="s">
        <v>75</v>
      </c>
      <c r="D17" s="9" t="s">
        <v>17</v>
      </c>
      <c r="E17" s="7" t="s">
        <v>76</v>
      </c>
      <c r="F17" s="7" t="s">
        <v>77</v>
      </c>
      <c r="G17" s="7" t="s">
        <v>78</v>
      </c>
      <c r="H17" s="7" t="s">
        <v>14</v>
      </c>
    </row>
    <row r="18" customFormat="false" ht="60" hidden="false" customHeight="true" outlineLevel="0" collapsed="false">
      <c r="A18" s="2" t="n">
        <v>17</v>
      </c>
      <c r="B18" s="3" t="s">
        <v>79</v>
      </c>
      <c r="C18" s="4" t="s">
        <v>80</v>
      </c>
      <c r="D18" s="9" t="s">
        <v>17</v>
      </c>
      <c r="E18" s="3" t="s">
        <v>81</v>
      </c>
      <c r="F18" s="3" t="s">
        <v>82</v>
      </c>
      <c r="G18" s="3" t="s">
        <v>83</v>
      </c>
      <c r="H18" s="3" t="s">
        <v>14</v>
      </c>
    </row>
    <row r="19" customFormat="false" ht="60" hidden="false" customHeight="true" outlineLevel="0" collapsed="false">
      <c r="A19" s="6" t="n">
        <v>18</v>
      </c>
      <c r="B19" s="7" t="s">
        <v>84</v>
      </c>
      <c r="C19" s="8" t="s">
        <v>85</v>
      </c>
      <c r="D19" s="9" t="s">
        <v>17</v>
      </c>
      <c r="E19" s="7" t="s">
        <v>86</v>
      </c>
      <c r="F19" s="7" t="s">
        <v>87</v>
      </c>
      <c r="G19" s="7" t="s">
        <v>88</v>
      </c>
      <c r="H19" s="7" t="s">
        <v>14</v>
      </c>
    </row>
    <row r="20" customFormat="false" ht="60" hidden="false" customHeight="true" outlineLevel="0" collapsed="false">
      <c r="A20" s="2" t="n">
        <v>19</v>
      </c>
      <c r="B20" s="3" t="s">
        <v>89</v>
      </c>
      <c r="C20" s="4" t="s">
        <v>90</v>
      </c>
      <c r="D20" s="9" t="s">
        <v>17</v>
      </c>
      <c r="E20" s="3" t="s">
        <v>91</v>
      </c>
      <c r="F20" s="3" t="s">
        <v>92</v>
      </c>
      <c r="G20" s="3" t="s">
        <v>25</v>
      </c>
      <c r="H20" s="3" t="s">
        <v>14</v>
      </c>
    </row>
    <row r="21" customFormat="false" ht="60" hidden="false" customHeight="true" outlineLevel="0" collapsed="false">
      <c r="A21" s="6" t="n">
        <v>20</v>
      </c>
      <c r="B21" s="7" t="s">
        <v>93</v>
      </c>
      <c r="C21" s="8" t="s">
        <v>47</v>
      </c>
      <c r="D21" s="9" t="s">
        <v>17</v>
      </c>
      <c r="E21" s="7" t="s">
        <v>94</v>
      </c>
      <c r="F21" s="7" t="s">
        <v>95</v>
      </c>
      <c r="G21" s="7" t="s">
        <v>96</v>
      </c>
      <c r="H21" s="7" t="s">
        <v>14</v>
      </c>
    </row>
    <row r="22" customFormat="false" ht="60" hidden="false" customHeight="true" outlineLevel="0" collapsed="false">
      <c r="A22" s="2" t="n">
        <v>21</v>
      </c>
      <c r="B22" s="3" t="s">
        <v>97</v>
      </c>
      <c r="C22" s="4" t="s">
        <v>98</v>
      </c>
      <c r="D22" s="11" t="s">
        <v>99</v>
      </c>
      <c r="E22" s="3" t="s">
        <v>100</v>
      </c>
      <c r="F22" s="3" t="s">
        <v>101</v>
      </c>
      <c r="G22" s="3" t="s">
        <v>102</v>
      </c>
      <c r="H22" s="3" t="s">
        <v>14</v>
      </c>
    </row>
    <row r="23" customFormat="false" ht="60" hidden="false" customHeight="true" outlineLevel="0" collapsed="false">
      <c r="A23" s="6" t="n">
        <v>22</v>
      </c>
      <c r="B23" s="7" t="s">
        <v>103</v>
      </c>
      <c r="C23" s="8" t="s">
        <v>104</v>
      </c>
      <c r="D23" s="11" t="s">
        <v>99</v>
      </c>
      <c r="E23" s="7" t="s">
        <v>105</v>
      </c>
      <c r="F23" s="7" t="s">
        <v>106</v>
      </c>
      <c r="G23" s="7" t="s">
        <v>107</v>
      </c>
      <c r="H23" s="7" t="s">
        <v>14</v>
      </c>
    </row>
    <row r="24" customFormat="false" ht="60" hidden="false" customHeight="true" outlineLevel="0" collapsed="false">
      <c r="A24" s="2" t="n">
        <v>23</v>
      </c>
      <c r="B24" s="3" t="s">
        <v>108</v>
      </c>
      <c r="C24" s="4" t="s">
        <v>109</v>
      </c>
      <c r="D24" s="11" t="s">
        <v>99</v>
      </c>
      <c r="E24" s="3" t="s">
        <v>110</v>
      </c>
      <c r="F24" s="3" t="s">
        <v>111</v>
      </c>
      <c r="G24" s="3" t="s">
        <v>25</v>
      </c>
      <c r="H24" s="3" t="s">
        <v>14</v>
      </c>
    </row>
    <row r="25" customFormat="false" ht="60" hidden="false" customHeight="true" outlineLevel="0" collapsed="false">
      <c r="A25" s="6" t="n">
        <v>24</v>
      </c>
      <c r="B25" s="7" t="s">
        <v>112</v>
      </c>
      <c r="C25" s="8" t="s">
        <v>113</v>
      </c>
      <c r="D25" s="11" t="s">
        <v>99</v>
      </c>
      <c r="E25" s="7" t="s">
        <v>114</v>
      </c>
      <c r="F25" s="7" t="s">
        <v>115</v>
      </c>
      <c r="G25" s="7" t="s">
        <v>116</v>
      </c>
      <c r="H25" s="7" t="s">
        <v>14</v>
      </c>
    </row>
    <row r="26" customFormat="false" ht="60" hidden="false" customHeight="true" outlineLevel="0" collapsed="false">
      <c r="A26" s="2" t="n">
        <v>25</v>
      </c>
      <c r="B26" s="3" t="s">
        <v>117</v>
      </c>
      <c r="C26" s="4" t="s">
        <v>118</v>
      </c>
      <c r="D26" s="11" t="s">
        <v>99</v>
      </c>
      <c r="E26" s="3" t="s">
        <v>119</v>
      </c>
      <c r="F26" s="3" t="s">
        <v>120</v>
      </c>
      <c r="G26" s="3" t="s">
        <v>25</v>
      </c>
      <c r="H26" s="3" t="s">
        <v>14</v>
      </c>
    </row>
    <row r="27" customFormat="false" ht="60" hidden="false" customHeight="true" outlineLevel="0" collapsed="false">
      <c r="A27" s="6" t="n">
        <v>26</v>
      </c>
      <c r="B27" s="7" t="s">
        <v>121</v>
      </c>
      <c r="C27" s="8" t="s">
        <v>122</v>
      </c>
      <c r="D27" s="11" t="s">
        <v>99</v>
      </c>
      <c r="E27" s="7" t="s">
        <v>123</v>
      </c>
      <c r="F27" s="7" t="s">
        <v>124</v>
      </c>
      <c r="G27" s="7" t="s">
        <v>125</v>
      </c>
      <c r="H27" s="7" t="s">
        <v>14</v>
      </c>
    </row>
    <row r="28" customFormat="false" ht="60" hidden="false" customHeight="true" outlineLevel="0" collapsed="false">
      <c r="A28" s="2" t="n">
        <v>27</v>
      </c>
      <c r="B28" s="3" t="s">
        <v>126</v>
      </c>
      <c r="C28" s="4" t="s">
        <v>127</v>
      </c>
      <c r="D28" s="5" t="s">
        <v>10</v>
      </c>
      <c r="E28" s="3" t="s">
        <v>128</v>
      </c>
      <c r="F28" s="3" t="s">
        <v>129</v>
      </c>
      <c r="G28" s="3" t="s">
        <v>130</v>
      </c>
      <c r="H28" s="3" t="s">
        <v>14</v>
      </c>
    </row>
    <row r="29" customFormat="false" ht="60" hidden="false" customHeight="true" outlineLevel="0" collapsed="false">
      <c r="A29" s="6" t="n">
        <v>28</v>
      </c>
      <c r="B29" s="7" t="s">
        <v>131</v>
      </c>
      <c r="C29" s="8" t="s">
        <v>132</v>
      </c>
      <c r="D29" s="11" t="s">
        <v>99</v>
      </c>
      <c r="E29" s="7" t="s">
        <v>133</v>
      </c>
      <c r="F29" s="7" t="s">
        <v>134</v>
      </c>
      <c r="G29" s="7" t="s">
        <v>135</v>
      </c>
      <c r="H29" s="7" t="s">
        <v>14</v>
      </c>
    </row>
    <row r="30" customFormat="false" ht="60" hidden="false" customHeight="true" outlineLevel="0" collapsed="false">
      <c r="A30" s="2" t="n">
        <v>29</v>
      </c>
      <c r="B30" s="3" t="s">
        <v>136</v>
      </c>
      <c r="C30" s="4" t="s">
        <v>137</v>
      </c>
      <c r="D30" s="11" t="s">
        <v>99</v>
      </c>
      <c r="E30" s="3" t="s">
        <v>138</v>
      </c>
      <c r="F30" s="3" t="s">
        <v>139</v>
      </c>
      <c r="G30" s="3" t="s">
        <v>25</v>
      </c>
      <c r="H30" s="3" t="s">
        <v>14</v>
      </c>
    </row>
    <row r="31" customFormat="false" ht="60" hidden="false" customHeight="true" outlineLevel="0" collapsed="false">
      <c r="A31" s="6" t="n">
        <v>30</v>
      </c>
      <c r="B31" s="7" t="s">
        <v>140</v>
      </c>
      <c r="C31" s="8" t="s">
        <v>141</v>
      </c>
      <c r="D31" s="11" t="s">
        <v>99</v>
      </c>
      <c r="E31" s="7" t="s">
        <v>142</v>
      </c>
      <c r="F31" s="7" t="s">
        <v>143</v>
      </c>
      <c r="G31" s="7" t="s">
        <v>144</v>
      </c>
      <c r="H31" s="7" t="s">
        <v>14</v>
      </c>
    </row>
    <row r="32" customFormat="false" ht="60" hidden="false" customHeight="true" outlineLevel="0" collapsed="false">
      <c r="A32" s="2" t="n">
        <v>31</v>
      </c>
      <c r="B32" s="3" t="s">
        <v>145</v>
      </c>
      <c r="C32" s="4" t="s">
        <v>146</v>
      </c>
      <c r="D32" s="11" t="s">
        <v>99</v>
      </c>
      <c r="E32" s="3" t="s">
        <v>147</v>
      </c>
      <c r="F32" s="3" t="s">
        <v>148</v>
      </c>
      <c r="G32" s="3" t="s">
        <v>149</v>
      </c>
      <c r="H32" s="3" t="s">
        <v>14</v>
      </c>
    </row>
    <row r="33" customFormat="false" ht="60" hidden="false" customHeight="true" outlineLevel="0" collapsed="false">
      <c r="A33" s="6" t="n">
        <v>32</v>
      </c>
      <c r="B33" s="7" t="s">
        <v>150</v>
      </c>
      <c r="C33" s="8" t="s">
        <v>151</v>
      </c>
      <c r="D33" s="11" t="s">
        <v>99</v>
      </c>
      <c r="E33" s="7" t="s">
        <v>152</v>
      </c>
      <c r="F33" s="7" t="s">
        <v>153</v>
      </c>
      <c r="G33" s="7" t="s">
        <v>25</v>
      </c>
      <c r="H33" s="7" t="s">
        <v>14</v>
      </c>
    </row>
    <row r="34" customFormat="false" ht="60" hidden="false" customHeight="true" outlineLevel="0" collapsed="false">
      <c r="A34" s="2" t="n">
        <v>33</v>
      </c>
      <c r="B34" s="3" t="s">
        <v>154</v>
      </c>
      <c r="C34" s="4" t="s">
        <v>155</v>
      </c>
      <c r="D34" s="11" t="s">
        <v>99</v>
      </c>
      <c r="E34" s="3" t="s">
        <v>156</v>
      </c>
      <c r="F34" s="3" t="s">
        <v>157</v>
      </c>
      <c r="G34" s="3" t="s">
        <v>158</v>
      </c>
      <c r="H34" s="3" t="s">
        <v>14</v>
      </c>
    </row>
    <row r="35" customFormat="false" ht="60" hidden="false" customHeight="true" outlineLevel="0" collapsed="false">
      <c r="A35" s="6" t="n">
        <v>34</v>
      </c>
      <c r="B35" s="7" t="s">
        <v>159</v>
      </c>
      <c r="C35" s="8" t="s">
        <v>160</v>
      </c>
      <c r="D35" s="11" t="s">
        <v>99</v>
      </c>
      <c r="E35" s="7" t="s">
        <v>161</v>
      </c>
      <c r="F35" s="7" t="s">
        <v>162</v>
      </c>
      <c r="G35" s="7" t="s">
        <v>163</v>
      </c>
      <c r="H35" s="7" t="s">
        <v>14</v>
      </c>
    </row>
    <row r="36" customFormat="false" ht="60" hidden="false" customHeight="true" outlineLevel="0" collapsed="false">
      <c r="A36" s="2" t="n">
        <v>35</v>
      </c>
      <c r="B36" s="3" t="s">
        <v>164</v>
      </c>
      <c r="C36" s="4" t="s">
        <v>165</v>
      </c>
      <c r="D36" s="11" t="s">
        <v>99</v>
      </c>
      <c r="E36" s="3" t="s">
        <v>166</v>
      </c>
      <c r="F36" s="3" t="s">
        <v>167</v>
      </c>
      <c r="G36" s="3" t="s">
        <v>25</v>
      </c>
      <c r="H36" s="3" t="s">
        <v>14</v>
      </c>
    </row>
    <row r="37" customFormat="false" ht="60" hidden="false" customHeight="true" outlineLevel="0" collapsed="false">
      <c r="A37" s="6" t="n">
        <v>36</v>
      </c>
      <c r="B37" s="7" t="s">
        <v>168</v>
      </c>
      <c r="C37" s="8" t="s">
        <v>22</v>
      </c>
      <c r="D37" s="10" t="s">
        <v>23</v>
      </c>
      <c r="E37" s="7" t="s">
        <v>169</v>
      </c>
      <c r="F37" s="7" t="s">
        <v>25</v>
      </c>
      <c r="G37" s="7" t="s">
        <v>170</v>
      </c>
      <c r="H37" s="7" t="s">
        <v>14</v>
      </c>
    </row>
  </sheetData>
  <autoFilter ref="A1:H37"/>
  <dataValidations count="1">
    <dataValidation allowBlank="true" errorStyle="stop" operator="between" showDropDown="false" showErrorMessage="false" showInputMessage="false" sqref="H2:H37" type="list">
      <formula1>"Not started,In progress,Built,Verified,Dropped"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2</v>
      </c>
      <c r="B1" s="1" t="s">
        <v>171</v>
      </c>
      <c r="C1" s="1" t="s">
        <v>172</v>
      </c>
      <c r="D1" s="1" t="s">
        <v>173</v>
      </c>
      <c r="E1" s="1" t="s">
        <v>174</v>
      </c>
    </row>
    <row r="2" customFormat="false" ht="39.75" hidden="false" customHeight="true" outlineLevel="0" collapsed="false">
      <c r="A2" s="4" t="s">
        <v>175</v>
      </c>
      <c r="B2" s="3" t="s">
        <v>176</v>
      </c>
      <c r="C2" s="3" t="s">
        <v>177</v>
      </c>
      <c r="D2" s="3" t="n">
        <v>0</v>
      </c>
      <c r="E2" s="3" t="s">
        <v>178</v>
      </c>
    </row>
    <row r="3" customFormat="false" ht="39.75" hidden="false" customHeight="true" outlineLevel="0" collapsed="false">
      <c r="A3" s="8" t="s">
        <v>179</v>
      </c>
      <c r="B3" s="7" t="s">
        <v>176</v>
      </c>
      <c r="C3" s="7" t="s">
        <v>180</v>
      </c>
      <c r="D3" s="7" t="n">
        <v>0</v>
      </c>
      <c r="E3" s="7" t="s">
        <v>181</v>
      </c>
    </row>
    <row r="4" customFormat="false" ht="39.75" hidden="false" customHeight="true" outlineLevel="0" collapsed="false">
      <c r="A4" s="4" t="s">
        <v>98</v>
      </c>
      <c r="B4" s="3" t="s">
        <v>176</v>
      </c>
      <c r="C4" s="3" t="s">
        <v>182</v>
      </c>
      <c r="D4" s="3" t="n">
        <v>1</v>
      </c>
      <c r="E4" s="3" t="s">
        <v>183</v>
      </c>
    </row>
    <row r="5" customFormat="false" ht="39.75" hidden="false" customHeight="true" outlineLevel="0" collapsed="false">
      <c r="A5" s="8" t="s">
        <v>184</v>
      </c>
      <c r="B5" s="7" t="s">
        <v>185</v>
      </c>
      <c r="C5" s="7" t="s">
        <v>186</v>
      </c>
      <c r="D5" s="7" t="n">
        <v>1</v>
      </c>
      <c r="E5" s="7" t="s">
        <v>187</v>
      </c>
    </row>
    <row r="6" customFormat="false" ht="39.75" hidden="false" customHeight="true" outlineLevel="0" collapsed="false">
      <c r="A6" s="4" t="s">
        <v>64</v>
      </c>
      <c r="B6" s="3" t="s">
        <v>176</v>
      </c>
      <c r="C6" s="3" t="s">
        <v>188</v>
      </c>
      <c r="D6" s="3" t="n">
        <v>9</v>
      </c>
      <c r="E6" s="3" t="s">
        <v>189</v>
      </c>
    </row>
    <row r="7" customFormat="false" ht="39.75" hidden="false" customHeight="true" outlineLevel="0" collapsed="false">
      <c r="A7" s="8" t="s">
        <v>33</v>
      </c>
      <c r="B7" s="7" t="s">
        <v>176</v>
      </c>
      <c r="C7" s="7" t="s">
        <v>190</v>
      </c>
      <c r="D7" s="7" t="n">
        <v>9</v>
      </c>
      <c r="E7" s="7" t="s">
        <v>191</v>
      </c>
    </row>
    <row r="8" customFormat="false" ht="39.75" hidden="false" customHeight="true" outlineLevel="0" collapsed="false">
      <c r="A8" s="4" t="s">
        <v>104</v>
      </c>
      <c r="B8" s="3" t="s">
        <v>176</v>
      </c>
      <c r="C8" s="3" t="s">
        <v>192</v>
      </c>
      <c r="D8" s="3" t="n">
        <v>1</v>
      </c>
      <c r="E8" s="3"/>
    </row>
    <row r="9" customFormat="false" ht="39.75" hidden="false" customHeight="true" outlineLevel="0" collapsed="false">
      <c r="A9" s="8" t="s">
        <v>109</v>
      </c>
      <c r="B9" s="7" t="s">
        <v>176</v>
      </c>
      <c r="C9" s="7" t="s">
        <v>193</v>
      </c>
      <c r="D9" s="7" t="n">
        <v>1</v>
      </c>
      <c r="E9" s="7"/>
    </row>
    <row r="10" customFormat="false" ht="39.75" hidden="false" customHeight="true" outlineLevel="0" collapsed="false">
      <c r="A10" s="4" t="s">
        <v>113</v>
      </c>
      <c r="B10" s="3" t="s">
        <v>176</v>
      </c>
      <c r="C10" s="3" t="s">
        <v>194</v>
      </c>
      <c r="D10" s="3" t="n">
        <v>1</v>
      </c>
      <c r="E10" s="3"/>
    </row>
    <row r="11" customFormat="false" ht="39.75" hidden="false" customHeight="true" outlineLevel="0" collapsed="false">
      <c r="A11" s="8" t="s">
        <v>118</v>
      </c>
      <c r="B11" s="7" t="s">
        <v>176</v>
      </c>
      <c r="C11" s="7" t="s">
        <v>195</v>
      </c>
      <c r="D11" s="7" t="n">
        <v>1</v>
      </c>
      <c r="E11" s="7"/>
    </row>
    <row r="12" customFormat="false" ht="39.75" hidden="false" customHeight="true" outlineLevel="0" collapsed="false">
      <c r="A12" s="4" t="s">
        <v>122</v>
      </c>
      <c r="B12" s="3" t="s">
        <v>176</v>
      </c>
      <c r="C12" s="3" t="s">
        <v>196</v>
      </c>
      <c r="D12" s="3" t="n">
        <v>1</v>
      </c>
      <c r="E12" s="3"/>
    </row>
    <row r="13" customFormat="false" ht="39.75" hidden="false" customHeight="true" outlineLevel="0" collapsed="false">
      <c r="A13" s="8" t="s">
        <v>197</v>
      </c>
      <c r="B13" s="7" t="s">
        <v>176</v>
      </c>
      <c r="C13" s="7" t="s">
        <v>198</v>
      </c>
      <c r="D13" s="7" t="n">
        <v>1</v>
      </c>
      <c r="E13" s="7" t="s">
        <v>199</v>
      </c>
    </row>
    <row r="14" customFormat="false" ht="39.75" hidden="false" customHeight="true" outlineLevel="0" collapsed="false">
      <c r="A14" s="4" t="s">
        <v>132</v>
      </c>
      <c r="B14" s="3" t="s">
        <v>176</v>
      </c>
      <c r="C14" s="3" t="s">
        <v>200</v>
      </c>
      <c r="D14" s="3" t="n">
        <v>1</v>
      </c>
      <c r="E14" s="3"/>
    </row>
    <row r="15" customFormat="false" ht="39.75" hidden="false" customHeight="true" outlineLevel="0" collapsed="false">
      <c r="A15" s="8" t="s">
        <v>137</v>
      </c>
      <c r="B15" s="7" t="s">
        <v>176</v>
      </c>
      <c r="C15" s="7" t="s">
        <v>201</v>
      </c>
      <c r="D15" s="7" t="n">
        <v>1</v>
      </c>
      <c r="E15" s="7"/>
    </row>
    <row r="16" customFormat="false" ht="39.75" hidden="false" customHeight="true" outlineLevel="0" collapsed="false">
      <c r="A16" s="4" t="s">
        <v>141</v>
      </c>
      <c r="B16" s="3" t="s">
        <v>202</v>
      </c>
      <c r="C16" s="3" t="s">
        <v>203</v>
      </c>
      <c r="D16" s="3" t="n">
        <v>1</v>
      </c>
      <c r="E16" s="3"/>
    </row>
    <row r="17" customFormat="false" ht="39.75" hidden="false" customHeight="true" outlineLevel="0" collapsed="false">
      <c r="A17" s="8" t="s">
        <v>146</v>
      </c>
      <c r="B17" s="7" t="s">
        <v>202</v>
      </c>
      <c r="C17" s="7" t="s">
        <v>204</v>
      </c>
      <c r="D17" s="7" t="n">
        <v>1</v>
      </c>
      <c r="E17" s="7"/>
    </row>
    <row r="18" customFormat="false" ht="39.75" hidden="false" customHeight="true" outlineLevel="0" collapsed="false">
      <c r="A18" s="4" t="s">
        <v>151</v>
      </c>
      <c r="B18" s="3" t="s">
        <v>202</v>
      </c>
      <c r="C18" s="3" t="s">
        <v>205</v>
      </c>
      <c r="D18" s="3" t="n">
        <v>1</v>
      </c>
      <c r="E18" s="3"/>
    </row>
    <row r="19" customFormat="false" ht="39.75" hidden="false" customHeight="true" outlineLevel="0" collapsed="false">
      <c r="A19" s="8" t="s">
        <v>155</v>
      </c>
      <c r="B19" s="7" t="s">
        <v>202</v>
      </c>
      <c r="C19" s="7" t="s">
        <v>206</v>
      </c>
      <c r="D19" s="7" t="n">
        <v>1</v>
      </c>
      <c r="E19" s="7"/>
    </row>
    <row r="20" customFormat="false" ht="39.75" hidden="false" customHeight="true" outlineLevel="0" collapsed="false">
      <c r="A20" s="4" t="s">
        <v>160</v>
      </c>
      <c r="B20" s="3" t="s">
        <v>202</v>
      </c>
      <c r="C20" s="3" t="s">
        <v>207</v>
      </c>
      <c r="D20" s="3" t="n">
        <v>1</v>
      </c>
      <c r="E20" s="3"/>
    </row>
    <row r="21" customFormat="false" ht="39.75" hidden="false" customHeight="true" outlineLevel="0" collapsed="false">
      <c r="A21" s="8" t="s">
        <v>165</v>
      </c>
      <c r="B21" s="7" t="s">
        <v>202</v>
      </c>
      <c r="C21" s="7" t="s">
        <v>208</v>
      </c>
      <c r="D21" s="7" t="n">
        <v>1</v>
      </c>
      <c r="E21" s="7"/>
    </row>
    <row r="22" customFormat="false" ht="39.75" hidden="false" customHeight="true" outlineLevel="0" collapsed="false">
      <c r="A22" s="4" t="s">
        <v>209</v>
      </c>
      <c r="B22" s="3" t="s">
        <v>210</v>
      </c>
      <c r="C22" s="3" t="s">
        <v>211</v>
      </c>
      <c r="D22" s="3" t="n">
        <v>0</v>
      </c>
      <c r="E22" s="3" t="s">
        <v>212</v>
      </c>
    </row>
    <row r="24" customFormat="false" ht="15" hidden="false" customHeight="false" outlineLevel="0" collapsed="false">
      <c r="A24" s="12" t="s">
        <v>213</v>
      </c>
      <c r="B24" s="12" t="n">
        <f aca="false">COUNTIF(B2:B22,"Screen")+COUNTIF(B2:B22,"Print")</f>
        <v>19</v>
      </c>
    </row>
    <row r="25" customFormat="false" ht="15" hidden="false" customHeight="false" outlineLevel="0" collapsed="false">
      <c r="A25" s="13" t="s">
        <v>214</v>
      </c>
      <c r="B25" s="13" t="n">
        <f aca="false">COUNTIF(B2:B22,"Sheet")</f>
        <v>1</v>
      </c>
    </row>
    <row r="26" customFormat="false" ht="15" hidden="false" customHeight="false" outlineLevel="0" collapsed="false">
      <c r="A26" s="13" t="s">
        <v>215</v>
      </c>
      <c r="B26" s="13" t="n">
        <f aca="false">SUM(D2:D22)</f>
        <v>34</v>
      </c>
    </row>
    <row r="27" customFormat="false" ht="15" hidden="false" customHeight="false" outlineLevel="0" collapsed="false">
      <c r="A27" s="13" t="s">
        <v>216</v>
      </c>
      <c r="B27" s="13" t="n">
        <f aca="false">COUNTA(Remap!A2:A37)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2026-10-02T06:29:36Z</dcterms:created>
  <dc:creator>openpyxl</dc:creator>
  <dc:description/>
  <dc:language>en-US</dc:language>
  <cp:lastModifiedBy/>
  <dcterms:modified xsi:type="dcterms:W3CDTF">2026-10-02T06:29:36Z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